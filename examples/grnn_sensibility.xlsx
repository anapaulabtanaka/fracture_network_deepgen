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goaa\Desktop\"/>
    </mc:Choice>
  </mc:AlternateContent>
  <xr:revisionPtr revIDLastSave="0" documentId="13_ncr:1_{C6896C7D-3671-4B8B-B716-A56F286319AF}" xr6:coauthVersionLast="47" xr6:coauthVersionMax="47" xr10:uidLastSave="{00000000-0000-0000-0000-000000000000}"/>
  <bookViews>
    <workbookView xWindow="-120" yWindow="-120" windowWidth="29040" windowHeight="15720" xr2:uid="{B6C3E696-A143-4979-84A6-93B73505D327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/>
  <c r="G35" i="1"/>
  <c r="F35" i="1"/>
  <c r="D35" i="1"/>
  <c r="E35" i="1"/>
  <c r="C35" i="1"/>
  <c r="Y17" i="1"/>
  <c r="X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W17" i="1"/>
  <c r="V17" i="1"/>
</calcChain>
</file>

<file path=xl/sharedStrings.xml><?xml version="1.0" encoding="utf-8"?>
<sst xmlns="http://schemas.openxmlformats.org/spreadsheetml/2006/main" count="48" uniqueCount="34">
  <si>
    <t>Learning rate</t>
  </si>
  <si>
    <t>Weight decay (L2 regularization)</t>
  </si>
  <si>
    <t>Drop out</t>
  </si>
  <si>
    <t>rnn_G</t>
  </si>
  <si>
    <t>rnn_E</t>
  </si>
  <si>
    <t>Min loss</t>
  </si>
  <si>
    <t>batch</t>
  </si>
  <si>
    <t>epochs</t>
  </si>
  <si>
    <t>Results</t>
  </si>
  <si>
    <t>Parameters</t>
  </si>
  <si>
    <t>Scenarios</t>
  </si>
  <si>
    <t>data</t>
  </si>
  <si>
    <t>total time run (s)</t>
  </si>
  <si>
    <t>out_polygonal.pickle</t>
  </si>
  <si>
    <t>input_output</t>
  </si>
  <si>
    <t>DDPM</t>
  </si>
  <si>
    <t>Min loss (train)</t>
  </si>
  <si>
    <t>Min loss (valid)</t>
  </si>
  <si>
    <t>time_steps</t>
  </si>
  <si>
    <t>Noise scheduler(m)</t>
  </si>
  <si>
    <t>Data set</t>
  </si>
  <si>
    <t>Context</t>
  </si>
  <si>
    <t>Rock</t>
  </si>
  <si>
    <t>Scale</t>
  </si>
  <si>
    <t>Largest Connected Component</t>
  </si>
  <si>
    <t>#nodes</t>
  </si>
  <si>
    <t>#edges</t>
  </si>
  <si>
    <t>Australia</t>
  </si>
  <si>
    <t>Apodi</t>
  </si>
  <si>
    <t>Aland</t>
  </si>
  <si>
    <t>Brejoes</t>
  </si>
  <si>
    <t>Bristol Channel</t>
  </si>
  <si>
    <t>Bristol Patterns</t>
  </si>
  <si>
    <t>Coastal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</si>
</sst>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2" fontId="0" fillId="0" borderId="0" xfId="0" applyNumberFormat="1" applyFill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6EF6-7746-4A29-B1A5-E6721DA45597}">
  <dimension ref="A1:AA39"/>
  <sheetViews>
    <sheetView tabSelected="1" workbookViewId="0">
      <selection activeCell="I26" sqref="I26"/>
    </sheetView>
  </sheetViews>
  <sheetFormatPr baseColWidth="10" defaultRowHeight="15" x14ac:dyDescent="0.25"/>
  <cols>
    <col min="2" max="2" width="29.42578125" bestFit="1" customWidth="1"/>
  </cols>
  <sheetData>
    <row r="1" spans="1:26" x14ac:dyDescent="0.25">
      <c r="B1" s="7" t="s">
        <v>9</v>
      </c>
      <c r="C1" s="8" t="s">
        <v>10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B2" s="7"/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 s="5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</row>
    <row r="3" spans="1:26" x14ac:dyDescent="0.25">
      <c r="A3" s="7" t="s">
        <v>3</v>
      </c>
      <c r="B3" t="s">
        <v>0</v>
      </c>
      <c r="C3">
        <v>1E-3</v>
      </c>
      <c r="D3">
        <v>1E-3</v>
      </c>
      <c r="E3">
        <v>1E-3</v>
      </c>
      <c r="F3">
        <v>1E-3</v>
      </c>
      <c r="G3">
        <v>1E-3</v>
      </c>
      <c r="H3" s="3">
        <v>0.01</v>
      </c>
      <c r="I3">
        <v>0.01</v>
      </c>
      <c r="J3">
        <v>0.01</v>
      </c>
      <c r="K3">
        <v>0.01</v>
      </c>
      <c r="L3" s="3">
        <v>0.1</v>
      </c>
      <c r="M3">
        <v>0.01</v>
      </c>
      <c r="N3">
        <v>0.01</v>
      </c>
      <c r="O3">
        <v>0.01</v>
      </c>
      <c r="P3" s="5">
        <v>5.0000000000000001E-3</v>
      </c>
      <c r="Q3" s="3">
        <v>3.0000000000000001E-3</v>
      </c>
      <c r="R3" s="3">
        <v>1E-3</v>
      </c>
      <c r="S3" s="3">
        <v>5.0000000000000001E-3</v>
      </c>
      <c r="T3" s="3">
        <v>5.0000000000000001E-3</v>
      </c>
      <c r="U3">
        <v>5.0000000000000001E-3</v>
      </c>
      <c r="V3">
        <v>5.0000000000000001E-3</v>
      </c>
      <c r="W3" s="3">
        <v>7.0000000000000001E-3</v>
      </c>
      <c r="X3" s="3">
        <v>6.0000000000000001E-3</v>
      </c>
      <c r="Y3" s="5">
        <v>5.0000000000000001E-3</v>
      </c>
    </row>
    <row r="4" spans="1:26" x14ac:dyDescent="0.25">
      <c r="A4" s="7"/>
      <c r="B4" t="s">
        <v>1</v>
      </c>
      <c r="C4" s="4">
        <v>0</v>
      </c>
      <c r="D4" s="3">
        <v>1E-3</v>
      </c>
      <c r="E4">
        <v>1E-3</v>
      </c>
      <c r="F4" s="3">
        <v>0</v>
      </c>
      <c r="G4">
        <v>0</v>
      </c>
      <c r="H4">
        <v>0</v>
      </c>
      <c r="I4" s="3">
        <v>1E-3</v>
      </c>
      <c r="J4" s="3">
        <v>0.01</v>
      </c>
      <c r="K4" s="3">
        <v>1E-3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 s="5">
        <v>0</v>
      </c>
    </row>
    <row r="5" spans="1:26" x14ac:dyDescent="0.25">
      <c r="A5" s="7"/>
      <c r="B5" t="s">
        <v>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>
        <v>0</v>
      </c>
      <c r="L5">
        <v>0</v>
      </c>
      <c r="M5" s="3">
        <v>0.3</v>
      </c>
      <c r="N5" s="6">
        <v>0.3</v>
      </c>
      <c r="O5" s="5">
        <v>0</v>
      </c>
      <c r="P5">
        <v>0</v>
      </c>
      <c r="Q5">
        <v>0</v>
      </c>
      <c r="R5">
        <v>0</v>
      </c>
      <c r="S5" s="3">
        <v>0.5</v>
      </c>
      <c r="T5" s="3">
        <v>0</v>
      </c>
      <c r="U5">
        <v>0</v>
      </c>
      <c r="V5">
        <v>0</v>
      </c>
      <c r="W5">
        <v>0</v>
      </c>
      <c r="X5">
        <v>0</v>
      </c>
      <c r="Y5" s="5">
        <v>0</v>
      </c>
    </row>
    <row r="6" spans="1:26" x14ac:dyDescent="0.25">
      <c r="A6" s="7"/>
      <c r="Y6" s="5"/>
    </row>
    <row r="7" spans="1:26" x14ac:dyDescent="0.25">
      <c r="A7" s="7" t="s">
        <v>4</v>
      </c>
      <c r="B7" t="s">
        <v>0</v>
      </c>
      <c r="C7">
        <v>1E-3</v>
      </c>
      <c r="D7">
        <v>1E-3</v>
      </c>
      <c r="E7">
        <v>1E-3</v>
      </c>
      <c r="F7">
        <v>1E-3</v>
      </c>
      <c r="G7">
        <v>1E-3</v>
      </c>
      <c r="H7">
        <v>1E-3</v>
      </c>
      <c r="I7">
        <v>1E-3</v>
      </c>
      <c r="J7">
        <v>1E-3</v>
      </c>
      <c r="K7">
        <v>1E-3</v>
      </c>
      <c r="L7">
        <v>1E-3</v>
      </c>
      <c r="M7">
        <v>1E-3</v>
      </c>
      <c r="N7">
        <v>1E-3</v>
      </c>
      <c r="O7">
        <v>1E-3</v>
      </c>
      <c r="P7">
        <v>1E-3</v>
      </c>
      <c r="Q7">
        <v>1E-3</v>
      </c>
      <c r="R7">
        <v>1E-3</v>
      </c>
      <c r="S7">
        <v>1E-3</v>
      </c>
      <c r="T7" s="3">
        <v>5.0000000000000001E-3</v>
      </c>
      <c r="U7" s="3">
        <v>3.0000000000000001E-3</v>
      </c>
      <c r="V7" s="3">
        <v>1E-3</v>
      </c>
      <c r="W7">
        <v>1E-3</v>
      </c>
      <c r="X7">
        <v>1E-3</v>
      </c>
      <c r="Y7" s="5">
        <v>1E-3</v>
      </c>
    </row>
    <row r="8" spans="1:26" x14ac:dyDescent="0.25">
      <c r="A8" s="7"/>
      <c r="B8" t="s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 s="3">
        <v>1E-3</v>
      </c>
      <c r="W8">
        <v>0</v>
      </c>
      <c r="X8">
        <v>0</v>
      </c>
      <c r="Y8" s="5">
        <v>0</v>
      </c>
    </row>
    <row r="9" spans="1:26" x14ac:dyDescent="0.25">
      <c r="A9" s="7"/>
      <c r="B9" t="s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5">
        <v>0</v>
      </c>
    </row>
    <row r="10" spans="1:26" x14ac:dyDescent="0.25">
      <c r="A10" s="7"/>
      <c r="Y10" s="5"/>
    </row>
    <row r="11" spans="1:26" x14ac:dyDescent="0.25">
      <c r="A11" s="1"/>
      <c r="B11" t="s">
        <v>6</v>
      </c>
      <c r="C11">
        <v>64</v>
      </c>
      <c r="D11">
        <v>64</v>
      </c>
      <c r="E11">
        <v>64</v>
      </c>
      <c r="F11" s="3">
        <v>16</v>
      </c>
      <c r="G11" s="4">
        <v>32</v>
      </c>
      <c r="H11">
        <v>32</v>
      </c>
      <c r="I11">
        <v>32</v>
      </c>
      <c r="J11">
        <v>32</v>
      </c>
      <c r="K11">
        <v>32</v>
      </c>
      <c r="L11">
        <v>32</v>
      </c>
      <c r="M11">
        <v>32</v>
      </c>
      <c r="N11">
        <v>32</v>
      </c>
      <c r="O11">
        <v>32</v>
      </c>
      <c r="P11">
        <v>32</v>
      </c>
      <c r="Q11">
        <v>32</v>
      </c>
      <c r="R11">
        <v>32</v>
      </c>
      <c r="S11">
        <v>32</v>
      </c>
      <c r="T11">
        <v>32</v>
      </c>
      <c r="U11">
        <v>32</v>
      </c>
      <c r="V11">
        <v>32</v>
      </c>
      <c r="W11">
        <v>32</v>
      </c>
      <c r="X11">
        <v>32</v>
      </c>
      <c r="Y11" s="5">
        <v>32</v>
      </c>
    </row>
    <row r="12" spans="1:26" x14ac:dyDescent="0.25">
      <c r="A12" s="1"/>
      <c r="B12" t="s">
        <v>7</v>
      </c>
      <c r="C12">
        <v>1000</v>
      </c>
      <c r="D12">
        <v>1000</v>
      </c>
      <c r="E12" s="3">
        <v>1500</v>
      </c>
      <c r="F12" s="3">
        <v>1000</v>
      </c>
      <c r="G12">
        <v>1000</v>
      </c>
      <c r="H12">
        <v>1000</v>
      </c>
      <c r="I12">
        <v>1000</v>
      </c>
      <c r="J12">
        <v>1000</v>
      </c>
      <c r="K12" s="3">
        <v>1500</v>
      </c>
      <c r="L12" s="3">
        <v>1000</v>
      </c>
      <c r="M12">
        <v>1000</v>
      </c>
      <c r="N12" s="3">
        <v>1500</v>
      </c>
      <c r="O12">
        <v>1500</v>
      </c>
      <c r="P12">
        <v>1500</v>
      </c>
      <c r="Q12">
        <v>1500</v>
      </c>
      <c r="R12">
        <v>1500</v>
      </c>
      <c r="S12">
        <v>1500</v>
      </c>
      <c r="T12">
        <v>1500</v>
      </c>
      <c r="U12">
        <v>1500</v>
      </c>
      <c r="V12">
        <v>1500</v>
      </c>
      <c r="W12">
        <v>1500</v>
      </c>
      <c r="X12">
        <v>1500</v>
      </c>
      <c r="Y12" s="5">
        <v>2000</v>
      </c>
    </row>
    <row r="13" spans="1:26" x14ac:dyDescent="0.25">
      <c r="A13" s="1"/>
      <c r="B13" t="s">
        <v>11</v>
      </c>
      <c r="C13" s="8" t="s">
        <v>13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26" x14ac:dyDescent="0.25">
      <c r="A14" s="1"/>
      <c r="B14" t="s">
        <v>14</v>
      </c>
    </row>
    <row r="15" spans="1:26" x14ac:dyDescent="0.25">
      <c r="A15" s="1"/>
    </row>
    <row r="16" spans="1:26" x14ac:dyDescent="0.25">
      <c r="A16" s="1"/>
      <c r="B16" t="s">
        <v>12</v>
      </c>
      <c r="C16" s="2">
        <v>187.34</v>
      </c>
      <c r="D16">
        <v>180.66</v>
      </c>
      <c r="E16">
        <v>277.22000000000003</v>
      </c>
      <c r="F16">
        <v>304.52</v>
      </c>
      <c r="G16">
        <v>239.23</v>
      </c>
      <c r="H16">
        <v>238.17</v>
      </c>
      <c r="I16">
        <v>237.77</v>
      </c>
      <c r="J16">
        <v>238.86</v>
      </c>
      <c r="K16">
        <v>341.26</v>
      </c>
      <c r="L16">
        <v>236.85</v>
      </c>
      <c r="M16">
        <v>238.84</v>
      </c>
      <c r="N16">
        <v>359.03</v>
      </c>
      <c r="O16">
        <v>353.71</v>
      </c>
      <c r="P16">
        <v>359.42</v>
      </c>
      <c r="Q16">
        <v>360.93</v>
      </c>
      <c r="R16">
        <v>358.94</v>
      </c>
      <c r="S16">
        <v>359.7</v>
      </c>
      <c r="T16">
        <v>349.97</v>
      </c>
      <c r="U16">
        <v>355.83</v>
      </c>
      <c r="V16">
        <v>354.69</v>
      </c>
      <c r="W16">
        <v>356.66</v>
      </c>
      <c r="X16">
        <v>360.18</v>
      </c>
      <c r="Y16">
        <v>461.23</v>
      </c>
    </row>
    <row r="17" spans="1:27" x14ac:dyDescent="0.25">
      <c r="A17" s="1"/>
      <c r="C17" s="2">
        <f t="shared" ref="C17:U17" si="0">C16/60</f>
        <v>3.1223333333333332</v>
      </c>
      <c r="D17" s="2">
        <f t="shared" si="0"/>
        <v>3.0110000000000001</v>
      </c>
      <c r="E17" s="2">
        <f t="shared" si="0"/>
        <v>4.6203333333333338</v>
      </c>
      <c r="F17" s="2">
        <f t="shared" si="0"/>
        <v>5.075333333333333</v>
      </c>
      <c r="G17" s="2">
        <f t="shared" si="0"/>
        <v>3.9871666666666665</v>
      </c>
      <c r="H17" s="2">
        <f t="shared" si="0"/>
        <v>3.9694999999999996</v>
      </c>
      <c r="I17" s="2">
        <f t="shared" si="0"/>
        <v>3.9628333333333337</v>
      </c>
      <c r="J17" s="2">
        <f t="shared" si="0"/>
        <v>3.9810000000000003</v>
      </c>
      <c r="K17" s="2">
        <f t="shared" si="0"/>
        <v>5.6876666666666669</v>
      </c>
      <c r="L17" s="2">
        <f t="shared" si="0"/>
        <v>3.9474999999999998</v>
      </c>
      <c r="M17" s="2">
        <f t="shared" si="0"/>
        <v>3.9806666666666666</v>
      </c>
      <c r="N17" s="2">
        <f t="shared" si="0"/>
        <v>5.9838333333333331</v>
      </c>
      <c r="O17" s="2">
        <f t="shared" si="0"/>
        <v>5.8951666666666664</v>
      </c>
      <c r="P17" s="2">
        <f t="shared" si="0"/>
        <v>5.990333333333334</v>
      </c>
      <c r="Q17" s="2">
        <f t="shared" si="0"/>
        <v>6.0155000000000003</v>
      </c>
      <c r="R17" s="2">
        <f t="shared" si="0"/>
        <v>5.9823333333333331</v>
      </c>
      <c r="S17" s="2">
        <f t="shared" si="0"/>
        <v>5.9950000000000001</v>
      </c>
      <c r="T17" s="2">
        <f t="shared" si="0"/>
        <v>5.8328333333333342</v>
      </c>
      <c r="U17" s="2">
        <f t="shared" si="0"/>
        <v>5.9304999999999994</v>
      </c>
      <c r="V17" s="2">
        <f>V16/60</f>
        <v>5.9115000000000002</v>
      </c>
      <c r="W17" s="2">
        <f>W16/60</f>
        <v>5.9443333333333337</v>
      </c>
      <c r="X17" s="2">
        <f>X16/60</f>
        <v>6.0030000000000001</v>
      </c>
      <c r="Y17" s="2">
        <f>Y16/60</f>
        <v>7.6871666666666671</v>
      </c>
      <c r="Z17" s="2"/>
    </row>
    <row r="19" spans="1:27" x14ac:dyDescent="0.25">
      <c r="A19" t="s">
        <v>8</v>
      </c>
      <c r="B19" t="s">
        <v>5</v>
      </c>
      <c r="C19">
        <v>0.10976</v>
      </c>
      <c r="D19">
        <v>0.13253999999999999</v>
      </c>
      <c r="E19">
        <v>0.11854000000000001</v>
      </c>
      <c r="F19">
        <v>0.10707</v>
      </c>
      <c r="G19">
        <v>0.1077</v>
      </c>
      <c r="H19">
        <v>0.10756</v>
      </c>
      <c r="I19">
        <v>0.16764999999999999</v>
      </c>
      <c r="J19">
        <v>0.18790999999999999</v>
      </c>
      <c r="K19">
        <v>0.18604000000000001</v>
      </c>
      <c r="L19">
        <v>0.18829000000000001</v>
      </c>
      <c r="M19">
        <v>0.11067</v>
      </c>
      <c r="N19">
        <v>0.10922999999999999</v>
      </c>
      <c r="O19">
        <v>0.10569000000000001</v>
      </c>
      <c r="P19" s="5">
        <v>0.10062</v>
      </c>
      <c r="Q19">
        <v>0.10369</v>
      </c>
      <c r="R19">
        <v>0.10578</v>
      </c>
      <c r="S19">
        <v>0.11019</v>
      </c>
      <c r="T19">
        <v>0.10159</v>
      </c>
      <c r="U19">
        <v>0.10215</v>
      </c>
      <c r="V19">
        <v>0.10438</v>
      </c>
      <c r="W19">
        <v>0.10451000000000001</v>
      </c>
      <c r="X19">
        <v>0.10523</v>
      </c>
      <c r="Y19" s="9">
        <v>0.10329000000000001</v>
      </c>
    </row>
    <row r="21" spans="1:27" x14ac:dyDescent="0.25">
      <c r="B21" s="7" t="s">
        <v>9</v>
      </c>
      <c r="C21" s="8" t="s">
        <v>10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7" x14ac:dyDescent="0.25">
      <c r="B22" s="7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25">
      <c r="A23" s="7" t="s">
        <v>15</v>
      </c>
      <c r="B23" t="s">
        <v>0</v>
      </c>
      <c r="C23" s="9">
        <v>2E-3</v>
      </c>
      <c r="D23" s="9">
        <v>2E-3</v>
      </c>
      <c r="E23" s="5">
        <v>1E-3</v>
      </c>
      <c r="F23" s="3">
        <v>1E-3</v>
      </c>
      <c r="G23" s="3">
        <v>1E-3</v>
      </c>
      <c r="H23" s="3">
        <v>1E-3</v>
      </c>
      <c r="I23" s="3">
        <v>5.0000000000000001E-4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25">
      <c r="A24" s="7"/>
      <c r="B24" t="s">
        <v>1</v>
      </c>
      <c r="C24" s="9">
        <v>0</v>
      </c>
      <c r="D24" s="9">
        <v>0</v>
      </c>
      <c r="E24" s="5">
        <v>0</v>
      </c>
      <c r="F24" s="9">
        <v>1E-3</v>
      </c>
      <c r="G24" s="9">
        <v>1E-3</v>
      </c>
      <c r="H24" s="9">
        <v>1E-3</v>
      </c>
      <c r="I24" s="9">
        <v>0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25">
      <c r="A25" s="7"/>
      <c r="C25" s="9"/>
      <c r="D25" s="9"/>
      <c r="E25" s="5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25">
      <c r="A26" s="7"/>
      <c r="B26" t="s">
        <v>19</v>
      </c>
      <c r="C26" s="9">
        <v>100</v>
      </c>
      <c r="D26" s="3">
        <v>1000</v>
      </c>
      <c r="E26" s="5">
        <v>1000</v>
      </c>
      <c r="F26" s="9">
        <v>1000</v>
      </c>
      <c r="G26" s="9">
        <v>1000</v>
      </c>
      <c r="H26" s="9">
        <v>1000</v>
      </c>
      <c r="I26" s="9">
        <v>1000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5">
      <c r="A27" s="1"/>
      <c r="C27" s="9"/>
      <c r="D27" s="9"/>
      <c r="E27" s="5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5">
      <c r="A28" s="1"/>
      <c r="B28" t="s">
        <v>18</v>
      </c>
      <c r="C28" s="9">
        <v>2400</v>
      </c>
      <c r="D28" s="9">
        <v>2400</v>
      </c>
      <c r="E28" s="5">
        <v>2400</v>
      </c>
      <c r="F28" s="9">
        <v>2400</v>
      </c>
      <c r="G28" s="9">
        <v>2400</v>
      </c>
      <c r="H28" s="9">
        <v>2400</v>
      </c>
      <c r="I28" s="9">
        <v>2400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25">
      <c r="A29" s="1"/>
      <c r="B29" t="s">
        <v>6</v>
      </c>
      <c r="C29" s="9">
        <v>32</v>
      </c>
      <c r="D29" s="9">
        <v>32</v>
      </c>
      <c r="E29" s="5">
        <v>32</v>
      </c>
      <c r="F29" s="9">
        <v>32</v>
      </c>
      <c r="G29" s="3">
        <v>16</v>
      </c>
      <c r="H29" s="3">
        <v>64</v>
      </c>
      <c r="I29" s="3">
        <v>32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x14ac:dyDescent="0.25">
      <c r="A30" s="1"/>
      <c r="B30" t="s">
        <v>7</v>
      </c>
      <c r="C30" s="9">
        <v>4001</v>
      </c>
      <c r="D30" s="9">
        <v>4001</v>
      </c>
      <c r="E30" s="5">
        <v>4001</v>
      </c>
      <c r="F30" s="9">
        <v>4001</v>
      </c>
      <c r="G30" s="9">
        <v>4001</v>
      </c>
      <c r="H30" s="9">
        <v>4001</v>
      </c>
      <c r="I30" s="9">
        <v>4001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x14ac:dyDescent="0.25">
      <c r="A31" s="1"/>
      <c r="B31" t="s">
        <v>11</v>
      </c>
      <c r="C31" s="11" t="s">
        <v>13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9"/>
      <c r="U31" s="9"/>
      <c r="V31" s="9"/>
      <c r="W31" s="9"/>
      <c r="X31" s="9"/>
      <c r="Y31" s="9"/>
      <c r="Z31" s="9"/>
      <c r="AA31" s="9"/>
    </row>
    <row r="32" spans="1:27" x14ac:dyDescent="0.25">
      <c r="A32" s="1"/>
      <c r="B32" t="s">
        <v>14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x14ac:dyDescent="0.25">
      <c r="A33" s="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x14ac:dyDescent="0.25">
      <c r="A34" s="1"/>
      <c r="B34" t="s">
        <v>12</v>
      </c>
      <c r="C34" s="10">
        <v>2000</v>
      </c>
      <c r="D34" s="9">
        <v>1970</v>
      </c>
      <c r="E34" s="9">
        <v>1950</v>
      </c>
      <c r="F34" s="9">
        <v>1960</v>
      </c>
      <c r="G34" s="9">
        <v>2250</v>
      </c>
      <c r="H34" s="9">
        <v>1730</v>
      </c>
      <c r="I34" s="9">
        <v>1950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x14ac:dyDescent="0.25">
      <c r="A35" s="1"/>
      <c r="C35" s="2">
        <f>C34/60</f>
        <v>33.333333333333336</v>
      </c>
      <c r="D35" s="2">
        <f>D34/60</f>
        <v>32.833333333333336</v>
      </c>
      <c r="E35" s="2">
        <f>E34/60</f>
        <v>32.5</v>
      </c>
      <c r="F35" s="2">
        <f>F34/60</f>
        <v>32.666666666666664</v>
      </c>
      <c r="G35" s="2">
        <f>G34/60</f>
        <v>37.5</v>
      </c>
      <c r="H35" s="2">
        <f t="shared" ref="H35:I35" si="1">H34/60</f>
        <v>28.833333333333332</v>
      </c>
      <c r="I35" s="2">
        <f t="shared" si="1"/>
        <v>32.5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9"/>
    </row>
    <row r="36" spans="1:27" x14ac:dyDescent="0.25"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x14ac:dyDescent="0.25">
      <c r="A37" t="s">
        <v>8</v>
      </c>
      <c r="B37" t="s">
        <v>16</v>
      </c>
      <c r="C37" s="9">
        <v>6.0639999999999999E-2</v>
      </c>
      <c r="D37" s="9">
        <v>3.2570000000000002E-2</v>
      </c>
      <c r="E37" s="9">
        <v>2.5850000000000001E-2</v>
      </c>
      <c r="F37" s="9">
        <v>3.2000000000000001E-2</v>
      </c>
      <c r="G37" s="9">
        <v>3.2960000000000003E-2</v>
      </c>
      <c r="H37" s="9">
        <v>0.33750000000000002</v>
      </c>
      <c r="I37" s="9">
        <v>2.775E-2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x14ac:dyDescent="0.25">
      <c r="B38" t="s">
        <v>17</v>
      </c>
      <c r="C38">
        <v>2.6720000000000001E-2</v>
      </c>
      <c r="D38">
        <v>5.5300000000000002E-3</v>
      </c>
      <c r="E38">
        <v>4.0299999999999997E-3</v>
      </c>
      <c r="F38">
        <v>4.8199999999999996E-3</v>
      </c>
      <c r="G38">
        <v>6.7799999999999996E-3</v>
      </c>
      <c r="H38">
        <v>8.7100000000000007E-3</v>
      </c>
      <c r="I38">
        <v>4.0299999999999997E-3</v>
      </c>
      <c r="T38" s="9"/>
      <c r="U38" s="9"/>
      <c r="V38" s="9"/>
      <c r="W38" s="9"/>
      <c r="X38" s="9"/>
      <c r="Y38" s="9"/>
      <c r="Z38" s="9"/>
      <c r="AA38" s="9"/>
    </row>
    <row r="39" spans="1:27" x14ac:dyDescent="0.25">
      <c r="T39" s="9"/>
      <c r="U39" s="9"/>
      <c r="V39" s="9"/>
      <c r="W39" s="9"/>
      <c r="X39" s="9"/>
      <c r="Y39" s="9"/>
      <c r="Z39" s="9"/>
      <c r="AA39" s="9"/>
    </row>
  </sheetData>
  <mergeCells count="8">
    <mergeCell ref="B21:B22"/>
    <mergeCell ref="C21:Z21"/>
    <mergeCell ref="A23:A26"/>
    <mergeCell ref="A3:A6"/>
    <mergeCell ref="A7:A10"/>
    <mergeCell ref="B1:B2"/>
    <mergeCell ref="C1:Z1"/>
    <mergeCell ref="C13:S1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12B1B-A31C-4873-9362-78EA6C9C5062}">
  <dimension ref="A1:F9"/>
  <sheetViews>
    <sheetView workbookViewId="0">
      <selection activeCell="E8" sqref="E8"/>
    </sheetView>
  </sheetViews>
  <sheetFormatPr baseColWidth="10" defaultRowHeight="15" x14ac:dyDescent="0.25"/>
  <cols>
    <col min="1" max="1" width="14.42578125" bestFit="1" customWidth="1"/>
  </cols>
  <sheetData>
    <row r="1" spans="1:6" x14ac:dyDescent="0.25">
      <c r="B1" t="s">
        <v>21</v>
      </c>
      <c r="C1" t="s">
        <v>22</v>
      </c>
      <c r="D1" t="s">
        <v>23</v>
      </c>
      <c r="E1" t="s">
        <v>24</v>
      </c>
    </row>
    <row r="2" spans="1:6" x14ac:dyDescent="0.25">
      <c r="A2" t="s">
        <v>20</v>
      </c>
      <c r="E2" t="s">
        <v>25</v>
      </c>
      <c r="F2" t="s">
        <v>26</v>
      </c>
    </row>
    <row r="3" spans="1:6" x14ac:dyDescent="0.25">
      <c r="A3" t="s">
        <v>29</v>
      </c>
    </row>
    <row r="4" spans="1:6" x14ac:dyDescent="0.25">
      <c r="A4" t="s">
        <v>28</v>
      </c>
    </row>
    <row r="5" spans="1:6" x14ac:dyDescent="0.25">
      <c r="A5" t="s">
        <v>27</v>
      </c>
    </row>
    <row r="6" spans="1:6" x14ac:dyDescent="0.25">
      <c r="A6" t="s">
        <v>30</v>
      </c>
    </row>
    <row r="7" spans="1:6" x14ac:dyDescent="0.25">
      <c r="A7" t="s">
        <v>31</v>
      </c>
    </row>
    <row r="8" spans="1:6" x14ac:dyDescent="0.25">
      <c r="A8" t="s">
        <v>32</v>
      </c>
    </row>
    <row r="9" spans="1:6" x14ac:dyDescent="0.25">
      <c r="A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UniNE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Burgoa Tanaka Ana Paula</dc:creator>
  <cp:lastModifiedBy>Burgoa Tanaka Ana Paula</cp:lastModifiedBy>
  <dcterms:created xsi:type="dcterms:W3CDTF">2026-01-23T07:52:06Z</dcterms:created>
  <dcterms:modified xsi:type="dcterms:W3CDTF">2026-02-02T15:13:47Z</dcterms:modified>
</cp:coreProperties>
</file>